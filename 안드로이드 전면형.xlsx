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ongwon.lee/Documents/모두의충전 데이터분석/"/>
    </mc:Choice>
  </mc:AlternateContent>
  <xr:revisionPtr revIDLastSave="0" documentId="13_ncr:1_{57501A41-6508-444C-B9D3-6C4C270FED11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Sheet1" sheetId="1" r:id="rId1"/>
    <sheet name="주간 추정매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9" i="1" l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J16" i="1"/>
  <c r="E16" i="1"/>
  <c r="E15" i="1"/>
  <c r="E1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<sst xmlns="http://schemas.openxmlformats.org/spreadsheetml/2006/main" count="122" uniqueCount="117">
  <si>
    <t>안드로이드 전면형 기준</t>
  </si>
  <si>
    <t>날짜</t>
  </si>
  <si>
    <t>Ecpm</t>
  </si>
  <si>
    <t>한화</t>
  </si>
  <si>
    <t>요청수</t>
  </si>
  <si>
    <t>일치율</t>
  </si>
  <si>
    <t>DAU</t>
  </si>
  <si>
    <t>신규가입</t>
  </si>
  <si>
    <t>누적 가입자수</t>
  </si>
  <si>
    <t>Ads 집행비용</t>
  </si>
  <si>
    <t>비고</t>
  </si>
  <si>
    <t>2026.03.22</t>
  </si>
  <si>
    <t>-</t>
  </si>
  <si>
    <t>2026.03.21</t>
  </si>
  <si>
    <t>2026.03.20</t>
  </si>
  <si>
    <t>2026.03.19</t>
  </si>
  <si>
    <t>2026.03.18</t>
  </si>
  <si>
    <t>유니티 미노출 이슈 발생</t>
  </si>
  <si>
    <t>2026.03.17</t>
  </si>
  <si>
    <t>2026.03.16</t>
  </si>
  <si>
    <t>2026.03.15</t>
  </si>
  <si>
    <t>2026.03.14</t>
  </si>
  <si>
    <t>2026.03.13</t>
  </si>
  <si>
    <t>2026.03.12</t>
  </si>
  <si>
    <t>2026.03.11</t>
  </si>
  <si>
    <t>2026.03.10</t>
  </si>
  <si>
    <t>2026.03.09</t>
  </si>
  <si>
    <t>2026.03.08</t>
  </si>
  <si>
    <t>2026.03.07</t>
  </si>
  <si>
    <t>2026.03.06</t>
  </si>
  <si>
    <t>2026.03.05</t>
  </si>
  <si>
    <t>2026.03.04</t>
  </si>
  <si>
    <t>2026.03.03</t>
  </si>
  <si>
    <t>2026.03.02</t>
  </si>
  <si>
    <t>2026.03.01</t>
  </si>
  <si>
    <t>2026.02.28</t>
  </si>
  <si>
    <t>2026.02.27</t>
  </si>
  <si>
    <t>2026.02.26</t>
  </si>
  <si>
    <t>2026.02.25</t>
  </si>
  <si>
    <t>2026.02.24</t>
  </si>
  <si>
    <t>2026.02.23</t>
  </si>
  <si>
    <t>2026.02.22</t>
  </si>
  <si>
    <t>2026.02.21</t>
  </si>
  <si>
    <t>2026.02.20</t>
  </si>
  <si>
    <t>2026.02.19</t>
  </si>
  <si>
    <t>2026.02.18</t>
  </si>
  <si>
    <t>2026.02.17</t>
  </si>
  <si>
    <t>2026.02.16</t>
  </si>
  <si>
    <t>2026.02.15</t>
  </si>
  <si>
    <t>2026.02.14</t>
  </si>
  <si>
    <t>2026.02.13</t>
  </si>
  <si>
    <t>2026.02.12</t>
  </si>
  <si>
    <t>2026.02.11</t>
  </si>
  <si>
    <t>2026.02.10</t>
  </si>
  <si>
    <t>2026.02.9</t>
  </si>
  <si>
    <t>2026.02.8</t>
  </si>
  <si>
    <t>2026.02.7</t>
  </si>
  <si>
    <t>2026.02.6</t>
  </si>
  <si>
    <t>2026.02.5</t>
  </si>
  <si>
    <t>2026.02.4</t>
  </si>
  <si>
    <t>2026.02.3</t>
  </si>
  <si>
    <t>2026.02.2</t>
  </si>
  <si>
    <t>2026.02.1</t>
  </si>
  <si>
    <t>2026.01.31</t>
  </si>
  <si>
    <t>2026.01.30</t>
  </si>
  <si>
    <t>2026.01.29</t>
  </si>
  <si>
    <t>2026.01.28</t>
  </si>
  <si>
    <t>2026.01.27</t>
  </si>
  <si>
    <t>2026.01.26</t>
  </si>
  <si>
    <t>2026.01.25</t>
  </si>
  <si>
    <t>2026.01.24</t>
  </si>
  <si>
    <t>2026.01.23</t>
  </si>
  <si>
    <t>2026.01.22</t>
  </si>
  <si>
    <t>2026.01.21</t>
  </si>
  <si>
    <t>2026.01.20</t>
  </si>
  <si>
    <t>2026.01.19</t>
  </si>
  <si>
    <t>2026.01.18</t>
  </si>
  <si>
    <t>2026.01.17</t>
  </si>
  <si>
    <t>2026.01.16</t>
  </si>
  <si>
    <t>2026.01.15</t>
  </si>
  <si>
    <t>2026.01.14</t>
  </si>
  <si>
    <t>2026.01.13</t>
  </si>
  <si>
    <t>2026.01.12</t>
  </si>
  <si>
    <t>2026.01.11</t>
  </si>
  <si>
    <t>2026.01.10</t>
  </si>
  <si>
    <t>2026.01.9</t>
  </si>
  <si>
    <t>2026.01.8</t>
  </si>
  <si>
    <t>2026.01.7</t>
  </si>
  <si>
    <t>2026.01.6</t>
  </si>
  <si>
    <t>2026.01.5</t>
  </si>
  <si>
    <t>2026.01.4</t>
  </si>
  <si>
    <t>2026.01.3</t>
  </si>
  <si>
    <t>2026.01.2</t>
  </si>
  <si>
    <t>2026.01.1</t>
  </si>
  <si>
    <t>주차_종료일</t>
  </si>
  <si>
    <t>주간_마지막_누적가입자</t>
  </si>
  <si>
    <t>직전주_대비_누적증가</t>
  </si>
  <si>
    <t>주간_신규가입_합계</t>
  </si>
  <si>
    <t>주간_요청수_합계</t>
  </si>
  <si>
    <t>주간_DAU_합계</t>
  </si>
  <si>
    <t>주간_평균_eCPM</t>
  </si>
  <si>
    <t>주간_평균_일치율</t>
  </si>
  <si>
    <t>주간_추정매출_요청기준</t>
  </si>
  <si>
    <t>주간_추정매출_일치율반영</t>
  </si>
  <si>
    <t>주간_광고집행비용_합계</t>
  </si>
  <si>
    <t>2026-01-04</t>
  </si>
  <si>
    <t>2026-01-11</t>
  </si>
  <si>
    <t>2026-01-18</t>
  </si>
  <si>
    <t>2026-01-25</t>
  </si>
  <si>
    <t>2026-02-01</t>
  </si>
  <si>
    <t>2026-02-08</t>
  </si>
  <si>
    <t>2026-02-15</t>
  </si>
  <si>
    <t>2026-02-22</t>
  </si>
  <si>
    <t>2026-03-01</t>
  </si>
  <si>
    <t>2026-03-08</t>
  </si>
  <si>
    <t>2026-03-15</t>
  </si>
  <si>
    <t>2026-03-22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</si>
</sst>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76" formatCode="_-* #,##0_-;\-* #,##0_-;_-* &quot;-&quot;_-;_-@_-"/>
  </numFmts>
  <fonts count="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3C4043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176" fontId="0" fillId="2" borderId="0" xfId="1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1" xfId="1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10" fontId="0" fillId="2" borderId="1" xfId="2" applyNumberFormat="1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0" fillId="0" borderId="0" xfId="0" applyAlignment="1"/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84"/>
  <sheetViews>
    <sheetView zoomScale="150" zoomScaleNormal="85" workbookViewId="0">
      <selection activeCell="F66" sqref="F66"/>
    </sheetView>
  </sheetViews>
  <sheetFormatPr baseColWidth="10" defaultColWidth="9" defaultRowHeight="17"/>
  <cols>
    <col min="1" max="2" width="9" style="1" customWidth="1"/>
    <col min="3" max="3" width="14.1640625" style="2" customWidth="1"/>
    <col min="4" max="7" width="9" style="2" customWidth="1"/>
    <col min="8" max="8" width="9" style="3" customWidth="1"/>
    <col min="9" max="9" width="9.6640625" style="2" bestFit="1" customWidth="1"/>
    <col min="10" max="10" width="13.6640625" style="2" bestFit="1" customWidth="1"/>
    <col min="11" max="11" width="13" style="3" bestFit="1" customWidth="1"/>
    <col min="12" max="12" width="23.5" style="2" bestFit="1" customWidth="1"/>
    <col min="13" max="13" width="32.33203125" style="1" bestFit="1" customWidth="1"/>
    <col min="14" max="14" width="9" style="1" customWidth="1"/>
    <col min="15" max="16384" width="9" style="1"/>
  </cols>
  <sheetData>
    <row r="2" spans="1:12">
      <c r="C2" s="13" t="s">
        <v>0</v>
      </c>
      <c r="D2" s="14"/>
      <c r="E2" s="14"/>
      <c r="F2" s="14"/>
      <c r="G2" s="14"/>
      <c r="H2" s="14"/>
      <c r="I2" s="14"/>
      <c r="J2" s="14"/>
      <c r="K2" s="14"/>
      <c r="L2" s="15"/>
    </row>
    <row r="3" spans="1:12">
      <c r="A3" s="2"/>
      <c r="B3" s="2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5" t="s">
        <v>6</v>
      </c>
      <c r="I3" s="4" t="s">
        <v>7</v>
      </c>
      <c r="J3" s="4" t="s">
        <v>8</v>
      </c>
      <c r="K3" s="5" t="s">
        <v>9</v>
      </c>
      <c r="L3" s="4" t="s">
        <v>10</v>
      </c>
    </row>
    <row r="4" spans="1:12">
      <c r="C4" s="4" t="s">
        <v>11</v>
      </c>
      <c r="D4" s="4">
        <v>3.57</v>
      </c>
      <c r="E4" s="5">
        <f t="shared" ref="E4:E35" si="0">D4*1500</f>
        <v>5355</v>
      </c>
      <c r="F4" s="6">
        <v>10553</v>
      </c>
      <c r="G4" s="7">
        <v>0.94689999999999996</v>
      </c>
      <c r="H4" s="5" t="s">
        <v>12</v>
      </c>
      <c r="I4" s="5">
        <v>74</v>
      </c>
      <c r="J4" s="5">
        <v>4241</v>
      </c>
      <c r="K4" s="5"/>
      <c r="L4" s="4"/>
    </row>
    <row r="5" spans="1:12">
      <c r="C5" s="4" t="s">
        <v>13</v>
      </c>
      <c r="D5" s="4">
        <v>3.66</v>
      </c>
      <c r="E5" s="5">
        <f t="shared" si="0"/>
        <v>5490</v>
      </c>
      <c r="F5" s="6">
        <v>10336</v>
      </c>
      <c r="G5" s="7">
        <v>0.94289999999999996</v>
      </c>
      <c r="H5" s="5" t="s">
        <v>12</v>
      </c>
      <c r="I5" s="5">
        <v>60</v>
      </c>
      <c r="J5" s="5">
        <v>4167</v>
      </c>
      <c r="K5" s="5">
        <v>6968</v>
      </c>
      <c r="L5" s="4"/>
    </row>
    <row r="6" spans="1:12">
      <c r="C6" s="4" t="s">
        <v>14</v>
      </c>
      <c r="D6" s="4">
        <v>3.93</v>
      </c>
      <c r="E6" s="5">
        <f t="shared" si="0"/>
        <v>5895</v>
      </c>
      <c r="F6" s="6">
        <v>11164</v>
      </c>
      <c r="G6" s="8">
        <v>0.93689999999999996</v>
      </c>
      <c r="H6" s="9">
        <v>1140</v>
      </c>
      <c r="I6" s="5">
        <v>53</v>
      </c>
      <c r="J6" s="5">
        <v>4107</v>
      </c>
      <c r="K6" s="5">
        <v>1218</v>
      </c>
      <c r="L6" s="4"/>
    </row>
    <row r="7" spans="1:12">
      <c r="C7" s="4" t="s">
        <v>15</v>
      </c>
      <c r="D7" s="4">
        <v>3.97</v>
      </c>
      <c r="E7" s="5">
        <f t="shared" si="0"/>
        <v>5955</v>
      </c>
      <c r="F7" s="6">
        <v>12037</v>
      </c>
      <c r="G7" s="8">
        <v>0.94330000000000003</v>
      </c>
      <c r="H7" s="9">
        <v>1290</v>
      </c>
      <c r="I7" s="5">
        <v>263</v>
      </c>
      <c r="J7" s="5">
        <v>4054</v>
      </c>
      <c r="K7" s="5">
        <v>61823</v>
      </c>
      <c r="L7" s="4"/>
    </row>
    <row r="8" spans="1:12">
      <c r="C8" s="4" t="s">
        <v>16</v>
      </c>
      <c r="D8" s="4">
        <v>4.54</v>
      </c>
      <c r="E8" s="5">
        <f t="shared" si="0"/>
        <v>6810</v>
      </c>
      <c r="F8" s="10">
        <v>11038</v>
      </c>
      <c r="G8" s="8">
        <v>0.94769999999999999</v>
      </c>
      <c r="H8" s="9">
        <v>1204</v>
      </c>
      <c r="I8" s="5">
        <v>337</v>
      </c>
      <c r="J8" s="5">
        <v>3791</v>
      </c>
      <c r="K8" s="5">
        <v>93559</v>
      </c>
      <c r="L8" s="4" t="s">
        <v>17</v>
      </c>
    </row>
    <row r="9" spans="1:12">
      <c r="C9" s="4" t="s">
        <v>18</v>
      </c>
      <c r="D9" s="4">
        <v>4.1500000000000004</v>
      </c>
      <c r="E9" s="5">
        <f t="shared" si="0"/>
        <v>6225.0000000000009</v>
      </c>
      <c r="F9" s="6">
        <v>8930</v>
      </c>
      <c r="G9" s="8">
        <v>0.94320000000000004</v>
      </c>
      <c r="H9" s="9">
        <v>969</v>
      </c>
      <c r="I9" s="5">
        <v>210</v>
      </c>
      <c r="J9" s="5">
        <v>3454</v>
      </c>
      <c r="K9" s="5">
        <v>106246</v>
      </c>
      <c r="L9" s="4" t="s">
        <v>17</v>
      </c>
    </row>
    <row r="10" spans="1:12">
      <c r="C10" s="4" t="s">
        <v>19</v>
      </c>
      <c r="D10" s="4">
        <v>4.49</v>
      </c>
      <c r="E10" s="5">
        <f t="shared" si="0"/>
        <v>6735</v>
      </c>
      <c r="F10" s="6">
        <v>7717</v>
      </c>
      <c r="G10" s="11">
        <v>0.94399999999999995</v>
      </c>
      <c r="H10" s="9">
        <v>873</v>
      </c>
      <c r="I10" s="5">
        <v>279</v>
      </c>
      <c r="J10" s="5">
        <v>3244</v>
      </c>
      <c r="K10" s="5">
        <v>111126</v>
      </c>
      <c r="L10" s="4" t="s">
        <v>17</v>
      </c>
    </row>
    <row r="11" spans="1:12">
      <c r="C11" s="4" t="s">
        <v>20</v>
      </c>
      <c r="D11" s="4">
        <v>3.55</v>
      </c>
      <c r="E11" s="5">
        <f t="shared" si="0"/>
        <v>5325</v>
      </c>
      <c r="F11" s="6">
        <v>6162</v>
      </c>
      <c r="G11" s="8">
        <v>0.94479999999999997</v>
      </c>
      <c r="H11" s="9">
        <v>661</v>
      </c>
      <c r="I11" s="5">
        <v>141</v>
      </c>
      <c r="J11" s="5">
        <v>2965</v>
      </c>
      <c r="K11" s="5">
        <v>31003</v>
      </c>
      <c r="L11" s="4" t="s">
        <v>17</v>
      </c>
    </row>
    <row r="12" spans="1:12">
      <c r="C12" s="4" t="s">
        <v>21</v>
      </c>
      <c r="D12" s="4">
        <v>3.1</v>
      </c>
      <c r="E12" s="5">
        <f t="shared" si="0"/>
        <v>4650</v>
      </c>
      <c r="F12" s="6">
        <v>4772</v>
      </c>
      <c r="G12" s="11">
        <v>0.94089999999999996</v>
      </c>
      <c r="H12" s="9">
        <v>516</v>
      </c>
      <c r="I12" s="5">
        <v>57</v>
      </c>
      <c r="J12" s="5">
        <v>2824</v>
      </c>
      <c r="K12" s="5">
        <v>23634</v>
      </c>
      <c r="L12" s="4" t="s">
        <v>17</v>
      </c>
    </row>
    <row r="13" spans="1:12">
      <c r="C13" s="4" t="s">
        <v>22</v>
      </c>
      <c r="D13" s="4">
        <v>3.34</v>
      </c>
      <c r="E13" s="5">
        <f t="shared" si="0"/>
        <v>5010</v>
      </c>
      <c r="F13" s="6">
        <v>4740</v>
      </c>
      <c r="G13" s="11">
        <v>0.90529999999999999</v>
      </c>
      <c r="H13" s="9">
        <v>495</v>
      </c>
      <c r="I13" s="5">
        <v>17</v>
      </c>
      <c r="J13" s="5">
        <v>2767</v>
      </c>
      <c r="K13" s="5"/>
      <c r="L13" s="4"/>
    </row>
    <row r="14" spans="1:12">
      <c r="C14" s="4" t="s">
        <v>23</v>
      </c>
      <c r="D14" s="4">
        <v>3.18</v>
      </c>
      <c r="E14" s="5">
        <f t="shared" si="0"/>
        <v>4770</v>
      </c>
      <c r="F14" s="6">
        <v>4683</v>
      </c>
      <c r="G14" s="11">
        <v>0.92569999999999997</v>
      </c>
      <c r="H14" s="9">
        <v>488</v>
      </c>
      <c r="I14" s="5">
        <v>25</v>
      </c>
      <c r="J14" s="5">
        <v>2750</v>
      </c>
      <c r="K14" s="5"/>
      <c r="L14" s="4"/>
    </row>
    <row r="15" spans="1:12">
      <c r="C15" s="4" t="s">
        <v>24</v>
      </c>
      <c r="D15" s="4">
        <v>3.34</v>
      </c>
      <c r="E15" s="5">
        <f t="shared" si="0"/>
        <v>5010</v>
      </c>
      <c r="F15" s="6">
        <v>4660</v>
      </c>
      <c r="G15" s="8">
        <v>0.91720000000000002</v>
      </c>
      <c r="H15" s="9">
        <v>481</v>
      </c>
      <c r="I15" s="5">
        <v>15</v>
      </c>
      <c r="J15" s="5">
        <v>2725</v>
      </c>
      <c r="K15" s="5"/>
      <c r="L15" s="4"/>
    </row>
    <row r="16" spans="1:12">
      <c r="C16" s="4" t="s">
        <v>25</v>
      </c>
      <c r="D16" s="4">
        <v>3.87</v>
      </c>
      <c r="E16" s="5">
        <f t="shared" si="0"/>
        <v>5805</v>
      </c>
      <c r="F16" s="10">
        <v>4501</v>
      </c>
      <c r="G16" s="11">
        <v>0.92049999999999998</v>
      </c>
      <c r="H16" s="9">
        <v>471</v>
      </c>
      <c r="I16" s="5">
        <v>17</v>
      </c>
      <c r="J16" s="5">
        <f>2693+I16</f>
        <v>2710</v>
      </c>
      <c r="K16" s="5"/>
      <c r="L16" s="4"/>
    </row>
    <row r="17" spans="3:12">
      <c r="C17" s="4" t="s">
        <v>26</v>
      </c>
      <c r="D17" s="4">
        <v>3.37</v>
      </c>
      <c r="E17" s="5">
        <f t="shared" si="0"/>
        <v>5055</v>
      </c>
      <c r="F17" s="10">
        <v>4374</v>
      </c>
      <c r="G17" s="8">
        <v>0.93669999999999998</v>
      </c>
      <c r="H17" s="9">
        <v>468</v>
      </c>
      <c r="I17" s="5">
        <v>21</v>
      </c>
      <c r="J17" s="5">
        <v>2693</v>
      </c>
      <c r="K17" s="5"/>
      <c r="L17" s="4"/>
    </row>
    <row r="18" spans="3:12">
      <c r="C18" s="4" t="s">
        <v>27</v>
      </c>
      <c r="D18" s="4">
        <v>4.2</v>
      </c>
      <c r="E18" s="5">
        <f t="shared" si="0"/>
        <v>6300</v>
      </c>
      <c r="F18" s="10">
        <v>4483</v>
      </c>
      <c r="G18" s="11">
        <v>0.93889999999999996</v>
      </c>
      <c r="H18" s="9">
        <v>483</v>
      </c>
      <c r="I18" s="5">
        <v>23</v>
      </c>
      <c r="J18" s="5">
        <v>2672</v>
      </c>
      <c r="K18" s="5"/>
      <c r="L18" s="4"/>
    </row>
    <row r="19" spans="3:12">
      <c r="C19" s="4" t="s">
        <v>28</v>
      </c>
      <c r="D19" s="4">
        <v>4.37</v>
      </c>
      <c r="E19" s="5">
        <f t="shared" si="0"/>
        <v>6555</v>
      </c>
      <c r="F19" s="10">
        <v>4478</v>
      </c>
      <c r="G19" s="11">
        <v>0.93789999999999996</v>
      </c>
      <c r="H19" s="9">
        <v>465</v>
      </c>
      <c r="I19" s="5">
        <v>19</v>
      </c>
      <c r="J19" s="5">
        <v>2649</v>
      </c>
      <c r="K19" s="5"/>
      <c r="L19" s="4"/>
    </row>
    <row r="20" spans="3:12">
      <c r="C20" s="4" t="s">
        <v>29</v>
      </c>
      <c r="D20" s="4">
        <v>3.86</v>
      </c>
      <c r="E20" s="5">
        <f t="shared" si="0"/>
        <v>5790</v>
      </c>
      <c r="F20" s="10">
        <v>4413</v>
      </c>
      <c r="G20" s="11">
        <v>0.92200000000000004</v>
      </c>
      <c r="H20" s="9">
        <v>478</v>
      </c>
      <c r="I20" s="5">
        <v>14</v>
      </c>
      <c r="J20" s="5">
        <v>2630</v>
      </c>
      <c r="K20" s="5">
        <v>29772</v>
      </c>
      <c r="L20" s="4"/>
    </row>
    <row r="21" spans="3:12">
      <c r="C21" s="4" t="s">
        <v>30</v>
      </c>
      <c r="D21" s="4">
        <v>3.6</v>
      </c>
      <c r="E21" s="5">
        <f t="shared" si="0"/>
        <v>5400</v>
      </c>
      <c r="F21" s="10">
        <v>4425</v>
      </c>
      <c r="G21" s="11">
        <v>0.93379999999999996</v>
      </c>
      <c r="H21" s="9">
        <v>467</v>
      </c>
      <c r="I21" s="5">
        <v>17</v>
      </c>
      <c r="J21" s="5">
        <v>2616</v>
      </c>
      <c r="K21" s="5">
        <v>52083</v>
      </c>
      <c r="L21" s="4"/>
    </row>
    <row r="22" spans="3:12">
      <c r="C22" s="4" t="s">
        <v>31</v>
      </c>
      <c r="D22" s="4">
        <v>3.55</v>
      </c>
      <c r="E22" s="5">
        <f t="shared" si="0"/>
        <v>5325</v>
      </c>
      <c r="F22" s="10">
        <v>4540</v>
      </c>
      <c r="G22" s="8">
        <v>0.94850000000000001</v>
      </c>
      <c r="H22" s="9">
        <v>475</v>
      </c>
      <c r="I22" s="5">
        <v>23</v>
      </c>
      <c r="J22" s="5">
        <v>2599</v>
      </c>
      <c r="K22" s="5">
        <v>35228</v>
      </c>
      <c r="L22" s="4"/>
    </row>
    <row r="23" spans="3:12">
      <c r="C23" s="4" t="s">
        <v>32</v>
      </c>
      <c r="D23" s="4">
        <v>3.31</v>
      </c>
      <c r="E23" s="5">
        <f t="shared" si="0"/>
        <v>4965</v>
      </c>
      <c r="F23" s="6">
        <v>4649</v>
      </c>
      <c r="G23" s="8">
        <v>0.94920000000000004</v>
      </c>
      <c r="H23" s="9">
        <v>494</v>
      </c>
      <c r="I23" s="5">
        <v>26</v>
      </c>
      <c r="J23" s="5">
        <v>2576</v>
      </c>
      <c r="K23" s="5"/>
      <c r="L23" s="4"/>
    </row>
    <row r="24" spans="3:12">
      <c r="C24" s="4" t="s">
        <v>33</v>
      </c>
      <c r="D24" s="4">
        <v>4.41</v>
      </c>
      <c r="E24" s="5">
        <f t="shared" si="0"/>
        <v>6615</v>
      </c>
      <c r="F24" s="10">
        <v>4512</v>
      </c>
      <c r="G24" s="8">
        <v>0.94879999999999998</v>
      </c>
      <c r="H24" s="9">
        <v>498</v>
      </c>
      <c r="I24" s="5">
        <v>35</v>
      </c>
      <c r="J24" s="5">
        <v>2550</v>
      </c>
      <c r="K24" s="5"/>
      <c r="L24" s="4"/>
    </row>
    <row r="25" spans="3:12">
      <c r="C25" s="4" t="s">
        <v>34</v>
      </c>
      <c r="D25" s="4">
        <v>3.4</v>
      </c>
      <c r="E25" s="5">
        <f t="shared" si="0"/>
        <v>5100</v>
      </c>
      <c r="F25" s="10">
        <v>4414</v>
      </c>
      <c r="G25" s="8">
        <v>0.95220000000000005</v>
      </c>
      <c r="H25" s="9">
        <v>486</v>
      </c>
      <c r="I25" s="5">
        <v>29</v>
      </c>
      <c r="J25" s="5">
        <v>2515</v>
      </c>
      <c r="K25" s="5"/>
      <c r="L25" s="4"/>
    </row>
    <row r="26" spans="3:12">
      <c r="C26" s="4" t="s">
        <v>35</v>
      </c>
      <c r="D26" s="4">
        <v>3.98</v>
      </c>
      <c r="E26" s="5">
        <f t="shared" si="0"/>
        <v>5970</v>
      </c>
      <c r="F26" s="6">
        <v>4273</v>
      </c>
      <c r="G26" s="8">
        <v>0.94130000000000003</v>
      </c>
      <c r="H26" s="9">
        <v>471</v>
      </c>
      <c r="I26" s="5">
        <v>19</v>
      </c>
      <c r="J26" s="5">
        <v>2486</v>
      </c>
      <c r="K26" s="5"/>
      <c r="L26" s="4"/>
    </row>
    <row r="27" spans="3:12">
      <c r="C27" s="4" t="s">
        <v>36</v>
      </c>
      <c r="D27" s="4">
        <v>3.04</v>
      </c>
      <c r="E27" s="5">
        <f t="shared" si="0"/>
        <v>4560</v>
      </c>
      <c r="F27" s="6">
        <v>4666</v>
      </c>
      <c r="G27" s="8">
        <v>0.91790000000000005</v>
      </c>
      <c r="H27" s="9">
        <v>482</v>
      </c>
      <c r="I27" s="5">
        <v>14</v>
      </c>
      <c r="J27" s="5">
        <v>2467</v>
      </c>
      <c r="K27" s="5"/>
      <c r="L27" s="4"/>
    </row>
    <row r="28" spans="3:12">
      <c r="C28" s="4" t="s">
        <v>37</v>
      </c>
      <c r="D28" s="4">
        <v>3.98</v>
      </c>
      <c r="E28" s="5">
        <f t="shared" si="0"/>
        <v>5970</v>
      </c>
      <c r="F28" s="6">
        <v>4567</v>
      </c>
      <c r="G28" s="8">
        <v>0.93210000000000004</v>
      </c>
      <c r="H28" s="9">
        <v>501</v>
      </c>
      <c r="I28" s="5">
        <v>35</v>
      </c>
      <c r="J28" s="5">
        <v>2453</v>
      </c>
      <c r="K28" s="5"/>
      <c r="L28" s="4"/>
    </row>
    <row r="29" spans="3:12">
      <c r="C29" s="4" t="s">
        <v>38</v>
      </c>
      <c r="D29" s="4">
        <v>3.34</v>
      </c>
      <c r="E29" s="5">
        <f t="shared" si="0"/>
        <v>5010</v>
      </c>
      <c r="F29" s="6">
        <v>4528</v>
      </c>
      <c r="G29" s="8">
        <v>0.93289999999999995</v>
      </c>
      <c r="H29" s="9">
        <v>482</v>
      </c>
      <c r="I29" s="5">
        <v>27</v>
      </c>
      <c r="J29" s="5">
        <v>2418</v>
      </c>
      <c r="K29" s="5"/>
      <c r="L29" s="4"/>
    </row>
    <row r="30" spans="3:12">
      <c r="C30" s="4" t="s">
        <v>39</v>
      </c>
      <c r="D30" s="4">
        <v>4.3499999999999996</v>
      </c>
      <c r="E30" s="5">
        <f t="shared" si="0"/>
        <v>6524.9999999999991</v>
      </c>
      <c r="F30" s="6">
        <v>4716</v>
      </c>
      <c r="G30" s="8">
        <v>0.93279999999999996</v>
      </c>
      <c r="H30" s="9">
        <v>496</v>
      </c>
      <c r="I30" s="5">
        <v>46</v>
      </c>
      <c r="J30" s="5">
        <v>2391</v>
      </c>
      <c r="K30" s="5"/>
      <c r="L30" s="4"/>
    </row>
    <row r="31" spans="3:12">
      <c r="C31" s="4" t="s">
        <v>40</v>
      </c>
      <c r="D31" s="4">
        <v>2.85</v>
      </c>
      <c r="E31" s="5">
        <f t="shared" si="0"/>
        <v>4275</v>
      </c>
      <c r="F31" s="10">
        <v>4568</v>
      </c>
      <c r="G31" s="11">
        <v>0.93189999999999995</v>
      </c>
      <c r="H31" s="9">
        <v>500</v>
      </c>
      <c r="I31" s="5">
        <v>44</v>
      </c>
      <c r="J31" s="5">
        <v>2345</v>
      </c>
      <c r="K31" s="5"/>
      <c r="L31" s="4"/>
    </row>
    <row r="32" spans="3:12">
      <c r="C32" s="4" t="s">
        <v>41</v>
      </c>
      <c r="D32" s="4">
        <v>4.3099999999999996</v>
      </c>
      <c r="E32" s="5">
        <f t="shared" si="0"/>
        <v>6464.9999999999991</v>
      </c>
      <c r="F32" s="6">
        <v>4437</v>
      </c>
      <c r="G32" s="11">
        <v>0.94</v>
      </c>
      <c r="H32" s="9">
        <v>484</v>
      </c>
      <c r="I32" s="5">
        <v>45</v>
      </c>
      <c r="J32" s="5">
        <v>2301</v>
      </c>
      <c r="K32" s="5"/>
      <c r="L32" s="4"/>
    </row>
    <row r="33" spans="3:12">
      <c r="C33" s="4" t="s">
        <v>42</v>
      </c>
      <c r="D33" s="4">
        <v>3.1</v>
      </c>
      <c r="E33" s="5">
        <f t="shared" si="0"/>
        <v>4650</v>
      </c>
      <c r="F33" s="6">
        <v>4333</v>
      </c>
      <c r="G33" s="11">
        <v>0.94950000000000001</v>
      </c>
      <c r="H33" s="9">
        <v>482</v>
      </c>
      <c r="I33" s="5">
        <v>27</v>
      </c>
      <c r="J33" s="5">
        <v>2256</v>
      </c>
      <c r="K33" s="5"/>
      <c r="L33" s="4"/>
    </row>
    <row r="34" spans="3:12">
      <c r="C34" s="4" t="s">
        <v>43</v>
      </c>
      <c r="D34" s="4">
        <v>3.35</v>
      </c>
      <c r="E34" s="5">
        <f t="shared" si="0"/>
        <v>5025</v>
      </c>
      <c r="F34" s="10">
        <v>4326</v>
      </c>
      <c r="G34" s="11">
        <v>0.94059999999999999</v>
      </c>
      <c r="H34" s="5">
        <v>475</v>
      </c>
      <c r="I34" s="5">
        <v>42</v>
      </c>
      <c r="J34" s="5">
        <v>2229</v>
      </c>
      <c r="K34" s="5"/>
      <c r="L34" s="4"/>
    </row>
    <row r="35" spans="3:12">
      <c r="C35" s="4" t="s">
        <v>44</v>
      </c>
      <c r="D35" s="4">
        <v>3.69</v>
      </c>
      <c r="E35" s="5">
        <f t="shared" si="0"/>
        <v>5535</v>
      </c>
      <c r="F35" s="10">
        <v>4430</v>
      </c>
      <c r="G35" s="7">
        <v>0.94699999999999995</v>
      </c>
      <c r="H35" s="5">
        <v>474</v>
      </c>
      <c r="I35" s="5">
        <v>41</v>
      </c>
      <c r="J35" s="5">
        <v>2187</v>
      </c>
      <c r="K35" s="5"/>
      <c r="L35" s="4"/>
    </row>
    <row r="36" spans="3:12">
      <c r="C36" s="4" t="s">
        <v>45</v>
      </c>
      <c r="D36" s="4">
        <v>3.54</v>
      </c>
      <c r="E36" s="5">
        <f t="shared" ref="E36:E67" si="1">D36*1500</f>
        <v>5310</v>
      </c>
      <c r="F36" s="4">
        <v>4306</v>
      </c>
      <c r="G36" s="7">
        <v>0.94910000000000005</v>
      </c>
      <c r="H36" s="5">
        <v>472</v>
      </c>
      <c r="I36" s="5">
        <v>97</v>
      </c>
      <c r="J36" s="5">
        <v>2146</v>
      </c>
      <c r="K36" s="5"/>
      <c r="L36" s="4"/>
    </row>
    <row r="37" spans="3:12">
      <c r="C37" s="4" t="s">
        <v>46</v>
      </c>
      <c r="D37" s="4">
        <v>3.89</v>
      </c>
      <c r="E37" s="5">
        <f t="shared" si="1"/>
        <v>5835</v>
      </c>
      <c r="F37" s="4">
        <v>4216</v>
      </c>
      <c r="G37" s="7">
        <v>0.94399999999999995</v>
      </c>
      <c r="H37" s="5">
        <v>475</v>
      </c>
      <c r="I37" s="5">
        <v>37</v>
      </c>
      <c r="J37" s="5">
        <v>2049</v>
      </c>
      <c r="K37" s="5"/>
      <c r="L37" s="4"/>
    </row>
    <row r="38" spans="3:12">
      <c r="C38" s="4" t="s">
        <v>47</v>
      </c>
      <c r="D38" s="4">
        <v>3.4</v>
      </c>
      <c r="E38" s="5">
        <f t="shared" si="1"/>
        <v>5100</v>
      </c>
      <c r="F38" s="4">
        <v>4380</v>
      </c>
      <c r="G38" s="7">
        <v>0.95</v>
      </c>
      <c r="H38" s="5">
        <v>488</v>
      </c>
      <c r="I38" s="5">
        <v>45</v>
      </c>
      <c r="J38" s="5">
        <v>2012</v>
      </c>
      <c r="K38" s="5"/>
      <c r="L38" s="4"/>
    </row>
    <row r="39" spans="3:12">
      <c r="C39" s="4" t="s">
        <v>48</v>
      </c>
      <c r="D39" s="4">
        <v>2.76</v>
      </c>
      <c r="E39" s="5">
        <f t="shared" si="1"/>
        <v>4140</v>
      </c>
      <c r="F39" s="4">
        <v>4301</v>
      </c>
      <c r="G39" s="7">
        <v>0.96020000000000005</v>
      </c>
      <c r="H39" s="5">
        <v>478</v>
      </c>
      <c r="I39" s="5">
        <v>50</v>
      </c>
      <c r="J39" s="5">
        <v>1967</v>
      </c>
      <c r="K39" s="5"/>
      <c r="L39" s="4"/>
    </row>
    <row r="40" spans="3:12">
      <c r="C40" s="4" t="s">
        <v>49</v>
      </c>
      <c r="D40" s="4">
        <v>2.99</v>
      </c>
      <c r="E40" s="5">
        <f t="shared" si="1"/>
        <v>4485</v>
      </c>
      <c r="F40" s="4">
        <v>4354</v>
      </c>
      <c r="G40" s="7">
        <v>0.95589999999999997</v>
      </c>
      <c r="H40" s="5">
        <v>495</v>
      </c>
      <c r="I40" s="5">
        <v>48</v>
      </c>
      <c r="J40" s="5">
        <v>1917</v>
      </c>
      <c r="K40" s="5"/>
      <c r="L40" s="4"/>
    </row>
    <row r="41" spans="3:12">
      <c r="C41" s="4" t="s">
        <v>50</v>
      </c>
      <c r="D41" s="4">
        <v>2.67</v>
      </c>
      <c r="E41" s="5">
        <f t="shared" si="1"/>
        <v>4005</v>
      </c>
      <c r="F41" s="4">
        <v>4575</v>
      </c>
      <c r="G41" s="7">
        <v>0.9395</v>
      </c>
      <c r="H41" s="5">
        <v>489</v>
      </c>
      <c r="I41" s="5">
        <v>36</v>
      </c>
      <c r="J41" s="5">
        <v>1869</v>
      </c>
      <c r="K41" s="5"/>
      <c r="L41" s="4"/>
    </row>
    <row r="42" spans="3:12">
      <c r="C42" s="4" t="s">
        <v>51</v>
      </c>
      <c r="D42" s="4">
        <v>3.07</v>
      </c>
      <c r="E42" s="5">
        <f t="shared" si="1"/>
        <v>4605</v>
      </c>
      <c r="F42" s="4">
        <v>4621</v>
      </c>
      <c r="G42" s="7">
        <v>0.96340000000000003</v>
      </c>
      <c r="H42" s="5">
        <v>488</v>
      </c>
      <c r="I42" s="5">
        <v>44</v>
      </c>
      <c r="J42" s="5">
        <v>1833</v>
      </c>
      <c r="K42" s="5"/>
      <c r="L42" s="4"/>
    </row>
    <row r="43" spans="3:12">
      <c r="C43" s="4" t="s">
        <v>52</v>
      </c>
      <c r="D43" s="4">
        <v>3.45</v>
      </c>
      <c r="E43" s="5">
        <f t="shared" si="1"/>
        <v>5175</v>
      </c>
      <c r="F43" s="4">
        <v>4888</v>
      </c>
      <c r="G43" s="7">
        <v>0.98040000000000005</v>
      </c>
      <c r="H43" s="5">
        <v>504</v>
      </c>
      <c r="I43" s="5">
        <v>46</v>
      </c>
      <c r="J43" s="5">
        <v>1789</v>
      </c>
      <c r="K43" s="5"/>
      <c r="L43" s="4"/>
    </row>
    <row r="44" spans="3:12">
      <c r="C44" s="4" t="s">
        <v>53</v>
      </c>
      <c r="D44" s="4">
        <v>3.17</v>
      </c>
      <c r="E44" s="5">
        <f t="shared" si="1"/>
        <v>4755</v>
      </c>
      <c r="F44" s="4">
        <v>4503</v>
      </c>
      <c r="G44" s="7">
        <v>0.97289999999999999</v>
      </c>
      <c r="H44" s="5">
        <v>486</v>
      </c>
      <c r="I44" s="5">
        <v>40</v>
      </c>
      <c r="J44" s="5">
        <v>1743</v>
      </c>
      <c r="K44" s="5"/>
      <c r="L44" s="4"/>
    </row>
    <row r="45" spans="3:12">
      <c r="C45" s="4" t="s">
        <v>54</v>
      </c>
      <c r="D45" s="4">
        <v>2.93</v>
      </c>
      <c r="E45" s="5">
        <f t="shared" si="1"/>
        <v>4395</v>
      </c>
      <c r="F45" s="4">
        <v>3855</v>
      </c>
      <c r="G45" s="7">
        <v>0.97409999999999997</v>
      </c>
      <c r="H45" s="5">
        <v>490</v>
      </c>
      <c r="I45" s="5">
        <v>55</v>
      </c>
      <c r="J45" s="5">
        <v>1703</v>
      </c>
      <c r="K45" s="5"/>
      <c r="L45" s="4"/>
    </row>
    <row r="46" spans="3:12">
      <c r="C46" s="4" t="s">
        <v>55</v>
      </c>
      <c r="D46" s="4">
        <v>2.68</v>
      </c>
      <c r="E46" s="5">
        <f t="shared" si="1"/>
        <v>4020.0000000000005</v>
      </c>
      <c r="F46" s="4">
        <v>4639</v>
      </c>
      <c r="G46" s="7">
        <v>0.97950000000000004</v>
      </c>
      <c r="H46" s="5">
        <v>488</v>
      </c>
      <c r="I46" s="5">
        <v>40</v>
      </c>
      <c r="J46" s="5">
        <v>1648</v>
      </c>
      <c r="K46" s="5"/>
      <c r="L46" s="4"/>
    </row>
    <row r="47" spans="3:12">
      <c r="C47" s="4" t="s">
        <v>56</v>
      </c>
      <c r="D47" s="4">
        <v>2.2599999999999998</v>
      </c>
      <c r="E47" s="5">
        <f t="shared" si="1"/>
        <v>3389.9999999999995</v>
      </c>
      <c r="F47" s="4">
        <v>4480</v>
      </c>
      <c r="G47" s="7">
        <v>0.98150000000000004</v>
      </c>
      <c r="H47" s="5">
        <v>464</v>
      </c>
      <c r="I47" s="5">
        <v>37</v>
      </c>
      <c r="J47" s="5">
        <v>1608</v>
      </c>
      <c r="K47" s="5"/>
      <c r="L47" s="4"/>
    </row>
    <row r="48" spans="3:12">
      <c r="C48" s="4" t="s">
        <v>57</v>
      </c>
      <c r="D48" s="4">
        <v>2.8</v>
      </c>
      <c r="E48" s="5">
        <f t="shared" si="1"/>
        <v>4200</v>
      </c>
      <c r="F48" s="4">
        <v>4566</v>
      </c>
      <c r="G48" s="7">
        <v>0.98750000000000004</v>
      </c>
      <c r="H48" s="5">
        <v>479</v>
      </c>
      <c r="I48" s="5">
        <v>34</v>
      </c>
      <c r="J48" s="5">
        <v>1571</v>
      </c>
      <c r="K48" s="5"/>
      <c r="L48" s="4"/>
    </row>
    <row r="49" spans="3:12">
      <c r="C49" s="4" t="s">
        <v>58</v>
      </c>
      <c r="D49" s="4">
        <v>2.2599999999999998</v>
      </c>
      <c r="E49" s="5">
        <f t="shared" si="1"/>
        <v>3389.9999999999995</v>
      </c>
      <c r="F49" s="4">
        <v>4163</v>
      </c>
      <c r="G49" s="7">
        <v>0.9839</v>
      </c>
      <c r="H49" s="5">
        <v>450</v>
      </c>
      <c r="I49" s="5">
        <v>11</v>
      </c>
      <c r="J49" s="5">
        <v>1537</v>
      </c>
      <c r="K49" s="5"/>
      <c r="L49" s="4"/>
    </row>
    <row r="50" spans="3:12">
      <c r="C50" s="4" t="s">
        <v>59</v>
      </c>
      <c r="D50" s="4">
        <v>3.28</v>
      </c>
      <c r="E50" s="5">
        <f t="shared" si="1"/>
        <v>4920</v>
      </c>
      <c r="F50" s="4">
        <v>4208</v>
      </c>
      <c r="G50" s="7">
        <v>0.98680000000000001</v>
      </c>
      <c r="H50" s="5">
        <v>455</v>
      </c>
      <c r="I50" s="5">
        <v>24</v>
      </c>
      <c r="J50" s="5">
        <v>1526</v>
      </c>
      <c r="K50" s="5"/>
      <c r="L50" s="4"/>
    </row>
    <row r="51" spans="3:12">
      <c r="C51" s="4" t="s">
        <v>60</v>
      </c>
      <c r="D51" s="4">
        <v>2.76</v>
      </c>
      <c r="E51" s="5">
        <f t="shared" si="1"/>
        <v>4140</v>
      </c>
      <c r="F51" s="4">
        <v>4189</v>
      </c>
      <c r="G51" s="7">
        <v>0.9778</v>
      </c>
      <c r="H51" s="5">
        <v>446</v>
      </c>
      <c r="I51" s="5">
        <v>10</v>
      </c>
      <c r="J51" s="5">
        <v>1502</v>
      </c>
      <c r="K51" s="5"/>
      <c r="L51" s="4"/>
    </row>
    <row r="52" spans="3:12">
      <c r="C52" s="4" t="s">
        <v>61</v>
      </c>
      <c r="D52" s="4">
        <v>3.1</v>
      </c>
      <c r="E52" s="5">
        <f t="shared" si="1"/>
        <v>4650</v>
      </c>
      <c r="F52" s="4">
        <v>4292</v>
      </c>
      <c r="G52" s="7">
        <v>0.9758</v>
      </c>
      <c r="H52" s="5">
        <v>454</v>
      </c>
      <c r="I52" s="5">
        <v>12</v>
      </c>
      <c r="J52" s="5">
        <v>1492</v>
      </c>
      <c r="K52" s="5"/>
      <c r="L52" s="4"/>
    </row>
    <row r="53" spans="3:12">
      <c r="C53" s="4" t="s">
        <v>62</v>
      </c>
      <c r="D53" s="4">
        <v>3.49</v>
      </c>
      <c r="E53" s="5">
        <f t="shared" si="1"/>
        <v>5235</v>
      </c>
      <c r="F53" s="4">
        <v>4311</v>
      </c>
      <c r="G53" s="7">
        <v>0.97170000000000001</v>
      </c>
      <c r="H53" s="5">
        <v>467</v>
      </c>
      <c r="I53" s="5">
        <v>10</v>
      </c>
      <c r="J53" s="5">
        <v>1480</v>
      </c>
      <c r="K53" s="5"/>
      <c r="L53" s="4"/>
    </row>
    <row r="54" spans="3:12">
      <c r="C54" s="4" t="s">
        <v>63</v>
      </c>
      <c r="D54" s="4">
        <v>2.7</v>
      </c>
      <c r="E54" s="5">
        <f t="shared" si="1"/>
        <v>4050.0000000000005</v>
      </c>
      <c r="F54" s="4">
        <v>4438</v>
      </c>
      <c r="G54" s="7">
        <v>0.96120000000000005</v>
      </c>
      <c r="H54" s="5">
        <v>472</v>
      </c>
      <c r="I54" s="5">
        <v>18</v>
      </c>
      <c r="J54" s="5">
        <v>1470</v>
      </c>
      <c r="K54" s="5"/>
      <c r="L54" s="4"/>
    </row>
    <row r="55" spans="3:12">
      <c r="C55" s="4" t="s">
        <v>64</v>
      </c>
      <c r="D55" s="4">
        <v>3.46</v>
      </c>
      <c r="E55" s="5">
        <f t="shared" si="1"/>
        <v>5190</v>
      </c>
      <c r="F55" s="4">
        <v>4562</v>
      </c>
      <c r="G55" s="7">
        <v>0.95</v>
      </c>
      <c r="H55" s="5">
        <v>475</v>
      </c>
      <c r="I55" s="5">
        <v>12</v>
      </c>
      <c r="J55" s="5">
        <v>1452</v>
      </c>
      <c r="K55" s="5"/>
      <c r="L55" s="4"/>
    </row>
    <row r="56" spans="3:12">
      <c r="C56" s="4" t="s">
        <v>65</v>
      </c>
      <c r="D56" s="4">
        <v>3.05</v>
      </c>
      <c r="E56" s="5">
        <f t="shared" si="1"/>
        <v>4575</v>
      </c>
      <c r="F56" s="4">
        <v>4563</v>
      </c>
      <c r="G56" s="7">
        <v>0.9577</v>
      </c>
      <c r="H56" s="5">
        <v>465</v>
      </c>
      <c r="I56" s="5">
        <v>15</v>
      </c>
      <c r="J56" s="5">
        <v>1440</v>
      </c>
      <c r="K56" s="5"/>
      <c r="L56" s="4"/>
    </row>
    <row r="57" spans="3:12">
      <c r="C57" s="4" t="s">
        <v>66</v>
      </c>
      <c r="D57" s="4">
        <v>3.22</v>
      </c>
      <c r="E57" s="5">
        <f t="shared" si="1"/>
        <v>4830</v>
      </c>
      <c r="F57" s="4">
        <v>4812</v>
      </c>
      <c r="G57" s="7">
        <v>0.8639</v>
      </c>
      <c r="H57" s="5">
        <v>476</v>
      </c>
      <c r="I57" s="5">
        <v>12</v>
      </c>
      <c r="J57" s="5">
        <v>1425</v>
      </c>
      <c r="K57" s="5"/>
      <c r="L57" s="4"/>
    </row>
    <row r="58" spans="3:12">
      <c r="C58" s="4" t="s">
        <v>67</v>
      </c>
      <c r="D58" s="4">
        <v>2.23</v>
      </c>
      <c r="E58" s="5">
        <f t="shared" si="1"/>
        <v>3345</v>
      </c>
      <c r="F58" s="4">
        <v>4551</v>
      </c>
      <c r="G58" s="7">
        <v>0.97389999999999999</v>
      </c>
      <c r="H58" s="5">
        <v>482</v>
      </c>
      <c r="I58" s="5">
        <v>14</v>
      </c>
      <c r="J58" s="5">
        <v>1413</v>
      </c>
      <c r="K58" s="5"/>
      <c r="L58" s="4"/>
    </row>
    <row r="59" spans="3:12">
      <c r="C59" s="4" t="s">
        <v>68</v>
      </c>
      <c r="D59" s="4">
        <v>2.69</v>
      </c>
      <c r="E59" s="5">
        <f t="shared" si="1"/>
        <v>4035</v>
      </c>
      <c r="F59" s="4">
        <v>4728</v>
      </c>
      <c r="G59" s="7">
        <v>0.97860000000000003</v>
      </c>
      <c r="H59" s="5">
        <v>525</v>
      </c>
      <c r="I59" s="5">
        <v>12</v>
      </c>
      <c r="J59" s="5">
        <v>1399</v>
      </c>
      <c r="K59" s="5"/>
      <c r="L59" s="4"/>
    </row>
    <row r="60" spans="3:12">
      <c r="C60" s="4" t="s">
        <v>69</v>
      </c>
      <c r="D60" s="4">
        <v>3.08</v>
      </c>
      <c r="E60" s="5">
        <f t="shared" si="1"/>
        <v>4620</v>
      </c>
      <c r="F60" s="4">
        <v>4460</v>
      </c>
      <c r="G60" s="7">
        <v>0.97419999999999995</v>
      </c>
      <c r="H60" s="5">
        <v>489</v>
      </c>
      <c r="I60" s="5">
        <v>20</v>
      </c>
      <c r="J60" s="5">
        <v>1387</v>
      </c>
      <c r="K60" s="5"/>
      <c r="L60" s="4"/>
    </row>
    <row r="61" spans="3:12">
      <c r="C61" s="4" t="s">
        <v>70</v>
      </c>
      <c r="D61" s="4">
        <v>2.93</v>
      </c>
      <c r="E61" s="5">
        <f t="shared" si="1"/>
        <v>4395</v>
      </c>
      <c r="F61" s="4">
        <v>4754</v>
      </c>
      <c r="G61" s="7">
        <v>0.96340000000000003</v>
      </c>
      <c r="H61" s="5">
        <v>501</v>
      </c>
      <c r="I61" s="5">
        <v>16</v>
      </c>
      <c r="J61" s="5">
        <v>1367</v>
      </c>
      <c r="K61" s="5"/>
      <c r="L61" s="4"/>
    </row>
    <row r="62" spans="3:12">
      <c r="C62" s="4" t="s">
        <v>71</v>
      </c>
      <c r="D62" s="4">
        <v>3.81</v>
      </c>
      <c r="E62" s="5">
        <f t="shared" si="1"/>
        <v>5715</v>
      </c>
      <c r="F62" s="4">
        <v>5449</v>
      </c>
      <c r="G62" s="7">
        <v>0.98199999999999998</v>
      </c>
      <c r="H62" s="5">
        <v>523</v>
      </c>
      <c r="I62" s="5">
        <v>22</v>
      </c>
      <c r="J62" s="5">
        <v>1351</v>
      </c>
      <c r="K62" s="5"/>
      <c r="L62" s="4"/>
    </row>
    <row r="63" spans="3:12">
      <c r="C63" s="4" t="s">
        <v>72</v>
      </c>
      <c r="D63" s="4">
        <v>3.93</v>
      </c>
      <c r="E63" s="5">
        <f t="shared" si="1"/>
        <v>5895</v>
      </c>
      <c r="F63" s="4">
        <v>5577</v>
      </c>
      <c r="G63" s="7">
        <v>0.97699999999999998</v>
      </c>
      <c r="H63" s="5">
        <v>525</v>
      </c>
      <c r="I63" s="5">
        <v>25</v>
      </c>
      <c r="J63" s="5">
        <v>1329</v>
      </c>
      <c r="K63" s="5"/>
      <c r="L63" s="4"/>
    </row>
    <row r="64" spans="3:12">
      <c r="C64" s="4" t="s">
        <v>73</v>
      </c>
      <c r="D64" s="4">
        <v>3.49</v>
      </c>
      <c r="E64" s="5">
        <f t="shared" si="1"/>
        <v>5235</v>
      </c>
      <c r="F64" s="4">
        <v>5475</v>
      </c>
      <c r="G64" s="7">
        <v>0.97589999999999999</v>
      </c>
      <c r="H64" s="5">
        <v>531</v>
      </c>
      <c r="I64" s="5">
        <v>66</v>
      </c>
      <c r="J64" s="5">
        <v>1304</v>
      </c>
      <c r="K64" s="5">
        <v>22121</v>
      </c>
      <c r="L64" s="4"/>
    </row>
    <row r="65" spans="3:12">
      <c r="C65" s="4" t="s">
        <v>74</v>
      </c>
      <c r="D65" s="4">
        <v>2.98</v>
      </c>
      <c r="E65" s="5">
        <f t="shared" si="1"/>
        <v>4470</v>
      </c>
      <c r="F65" s="4">
        <v>5019</v>
      </c>
      <c r="G65" s="7">
        <v>0.97450000000000003</v>
      </c>
      <c r="H65" s="5">
        <v>479</v>
      </c>
      <c r="I65" s="5">
        <v>20</v>
      </c>
      <c r="J65" s="5">
        <v>1238</v>
      </c>
      <c r="K65" s="5">
        <v>685</v>
      </c>
      <c r="L65" s="4"/>
    </row>
    <row r="66" spans="3:12">
      <c r="C66" s="4" t="s">
        <v>75</v>
      </c>
      <c r="D66" s="4">
        <v>2.83</v>
      </c>
      <c r="E66" s="5">
        <f t="shared" si="1"/>
        <v>4245</v>
      </c>
      <c r="F66" s="4">
        <v>5343</v>
      </c>
      <c r="G66" s="7">
        <v>0.98</v>
      </c>
      <c r="H66" s="5">
        <v>525</v>
      </c>
      <c r="I66" s="5">
        <v>81</v>
      </c>
      <c r="J66" s="5">
        <v>1218</v>
      </c>
      <c r="K66" s="5">
        <v>28423</v>
      </c>
      <c r="L66" s="4"/>
    </row>
    <row r="67" spans="3:12">
      <c r="C67" s="4" t="s">
        <v>76</v>
      </c>
      <c r="D67" s="4">
        <v>2.35</v>
      </c>
      <c r="E67" s="5">
        <f t="shared" si="1"/>
        <v>3525</v>
      </c>
      <c r="F67" s="4">
        <v>4722</v>
      </c>
      <c r="G67" s="7">
        <v>0.97860000000000003</v>
      </c>
      <c r="H67" s="5">
        <v>460</v>
      </c>
      <c r="I67" s="5">
        <v>35</v>
      </c>
      <c r="J67" s="5">
        <v>1137</v>
      </c>
      <c r="K67" s="5">
        <v>22869</v>
      </c>
      <c r="L67" s="4"/>
    </row>
    <row r="68" spans="3:12">
      <c r="C68" s="4" t="s">
        <v>77</v>
      </c>
      <c r="D68" s="4">
        <v>2.66</v>
      </c>
      <c r="E68" s="5">
        <f t="shared" ref="E68:E99" si="2">D68*1500</f>
        <v>3990</v>
      </c>
      <c r="F68" s="4">
        <v>4710</v>
      </c>
      <c r="G68" s="7">
        <v>0.96109999999999995</v>
      </c>
      <c r="H68" s="5">
        <v>454</v>
      </c>
      <c r="I68" s="5">
        <v>20</v>
      </c>
      <c r="J68" s="5">
        <v>1102</v>
      </c>
      <c r="K68" s="5"/>
      <c r="L68" s="4"/>
    </row>
    <row r="69" spans="3:12">
      <c r="C69" s="4" t="s">
        <v>78</v>
      </c>
      <c r="D69" s="4">
        <v>2.84</v>
      </c>
      <c r="E69" s="5">
        <f t="shared" si="2"/>
        <v>4260</v>
      </c>
      <c r="F69" s="4">
        <v>5196</v>
      </c>
      <c r="G69" s="7">
        <v>0.93730000000000002</v>
      </c>
      <c r="H69" s="5">
        <v>462</v>
      </c>
      <c r="I69" s="5">
        <v>20</v>
      </c>
      <c r="J69" s="5">
        <v>1082</v>
      </c>
      <c r="K69" s="5">
        <v>806</v>
      </c>
      <c r="L69" s="4"/>
    </row>
    <row r="70" spans="3:12">
      <c r="C70" s="4" t="s">
        <v>79</v>
      </c>
      <c r="D70" s="4">
        <v>3.21</v>
      </c>
      <c r="E70" s="5">
        <f t="shared" si="2"/>
        <v>4815</v>
      </c>
      <c r="F70" s="4">
        <v>5579</v>
      </c>
      <c r="G70" s="7">
        <v>0.86699999999999999</v>
      </c>
      <c r="H70" s="5">
        <v>494</v>
      </c>
      <c r="I70" s="5">
        <v>27</v>
      </c>
      <c r="J70" s="5">
        <v>1062</v>
      </c>
      <c r="K70" s="5">
        <v>2793</v>
      </c>
      <c r="L70" s="4"/>
    </row>
    <row r="71" spans="3:12">
      <c r="C71" s="4" t="s">
        <v>80</v>
      </c>
      <c r="D71" s="4">
        <v>3.83</v>
      </c>
      <c r="E71" s="5">
        <f t="shared" si="2"/>
        <v>5745</v>
      </c>
      <c r="F71" s="4">
        <v>4975</v>
      </c>
      <c r="G71" s="7">
        <v>0.97509999999999997</v>
      </c>
      <c r="H71" s="5">
        <v>472</v>
      </c>
      <c r="I71" s="5">
        <v>31</v>
      </c>
      <c r="J71" s="5">
        <v>1035</v>
      </c>
      <c r="K71" s="5">
        <v>1752</v>
      </c>
      <c r="L71" s="4"/>
    </row>
    <row r="72" spans="3:12">
      <c r="C72" s="4" t="s">
        <v>81</v>
      </c>
      <c r="D72" s="4">
        <v>3.81</v>
      </c>
      <c r="E72" s="5">
        <f t="shared" si="2"/>
        <v>5715</v>
      </c>
      <c r="F72" s="4">
        <v>4831</v>
      </c>
      <c r="G72" s="7">
        <v>0.96960000000000002</v>
      </c>
      <c r="H72" s="5">
        <v>475</v>
      </c>
      <c r="I72" s="5">
        <v>37</v>
      </c>
      <c r="J72" s="5">
        <v>1004</v>
      </c>
      <c r="K72" s="5">
        <v>3704</v>
      </c>
      <c r="L72" s="4"/>
    </row>
    <row r="73" spans="3:12">
      <c r="C73" s="4" t="s">
        <v>82</v>
      </c>
      <c r="D73" s="4">
        <v>3.77</v>
      </c>
      <c r="E73" s="5">
        <f t="shared" si="2"/>
        <v>5655</v>
      </c>
      <c r="F73" s="4">
        <v>4470</v>
      </c>
      <c r="G73" s="7">
        <v>0.97899999999999998</v>
      </c>
      <c r="H73" s="5">
        <v>458</v>
      </c>
      <c r="I73" s="5">
        <v>33</v>
      </c>
      <c r="J73" s="5">
        <v>967</v>
      </c>
      <c r="K73" s="5">
        <v>1515</v>
      </c>
      <c r="L73" s="4"/>
    </row>
    <row r="74" spans="3:12">
      <c r="C74" s="4" t="s">
        <v>83</v>
      </c>
      <c r="D74" s="4">
        <v>3.84</v>
      </c>
      <c r="E74" s="5">
        <f t="shared" si="2"/>
        <v>5760</v>
      </c>
      <c r="F74" s="4">
        <v>4909</v>
      </c>
      <c r="G74" s="7">
        <v>0.97660000000000002</v>
      </c>
      <c r="H74" s="5">
        <v>491</v>
      </c>
      <c r="I74" s="5">
        <v>35</v>
      </c>
      <c r="J74" s="5">
        <v>934</v>
      </c>
      <c r="K74" s="5"/>
      <c r="L74" s="4"/>
    </row>
    <row r="75" spans="3:12">
      <c r="C75" s="4" t="s">
        <v>84</v>
      </c>
      <c r="D75" s="4">
        <v>4.0999999999999996</v>
      </c>
      <c r="E75" s="5">
        <f t="shared" si="2"/>
        <v>6149.9999999999991</v>
      </c>
      <c r="F75" s="4">
        <v>4728</v>
      </c>
      <c r="G75" s="7">
        <v>0.97719999999999996</v>
      </c>
      <c r="H75" s="5">
        <v>476</v>
      </c>
      <c r="I75" s="5">
        <v>32</v>
      </c>
      <c r="J75" s="5">
        <v>899</v>
      </c>
      <c r="K75" s="5">
        <v>2762</v>
      </c>
      <c r="L75" s="4"/>
    </row>
    <row r="76" spans="3:12">
      <c r="C76" s="4" t="s">
        <v>85</v>
      </c>
      <c r="D76" s="4">
        <v>4.97</v>
      </c>
      <c r="E76" s="5">
        <f t="shared" si="2"/>
        <v>7455</v>
      </c>
      <c r="F76" s="4">
        <v>5003</v>
      </c>
      <c r="G76" s="7">
        <v>0.9718</v>
      </c>
      <c r="H76" s="5">
        <v>516</v>
      </c>
      <c r="I76" s="5">
        <v>71</v>
      </c>
      <c r="J76" s="5">
        <v>867</v>
      </c>
      <c r="K76" s="5">
        <v>3462</v>
      </c>
      <c r="L76" s="4"/>
    </row>
    <row r="77" spans="3:12">
      <c r="C77" s="4" t="s">
        <v>86</v>
      </c>
      <c r="D77" s="4">
        <v>5.31</v>
      </c>
      <c r="E77" s="5">
        <f t="shared" si="2"/>
        <v>7964.9999999999991</v>
      </c>
      <c r="F77" s="4">
        <v>5489</v>
      </c>
      <c r="G77" s="7">
        <v>0.94189999999999996</v>
      </c>
      <c r="H77" s="5">
        <v>573</v>
      </c>
      <c r="I77" s="5">
        <v>113</v>
      </c>
      <c r="J77" s="5">
        <v>796</v>
      </c>
      <c r="K77" s="5">
        <v>26255</v>
      </c>
      <c r="L77" s="4"/>
    </row>
    <row r="78" spans="3:12">
      <c r="C78" s="4" t="s">
        <v>87</v>
      </c>
      <c r="D78" s="4">
        <v>5.03</v>
      </c>
      <c r="E78" s="5">
        <f t="shared" si="2"/>
        <v>7545</v>
      </c>
      <c r="F78" s="4">
        <v>5284</v>
      </c>
      <c r="G78" s="7">
        <v>0.99109999999999998</v>
      </c>
      <c r="H78" s="5">
        <v>666</v>
      </c>
      <c r="I78" s="5">
        <v>506</v>
      </c>
      <c r="J78" s="5">
        <v>683</v>
      </c>
      <c r="K78" s="5">
        <v>78212</v>
      </c>
      <c r="L78" s="4"/>
    </row>
    <row r="79" spans="3:12">
      <c r="C79" s="4" t="s">
        <v>88</v>
      </c>
      <c r="D79" s="4">
        <v>4.8</v>
      </c>
      <c r="E79" s="5">
        <f t="shared" si="2"/>
        <v>7200</v>
      </c>
      <c r="F79" s="4">
        <v>63</v>
      </c>
      <c r="G79" s="7">
        <v>1</v>
      </c>
      <c r="H79" s="5">
        <v>174</v>
      </c>
      <c r="I79" s="5">
        <v>95</v>
      </c>
      <c r="J79" s="5">
        <v>177</v>
      </c>
      <c r="K79" s="5">
        <v>41594</v>
      </c>
      <c r="L79" s="4"/>
    </row>
    <row r="80" spans="3:12">
      <c r="C80" s="4" t="s">
        <v>89</v>
      </c>
      <c r="D80" s="4"/>
      <c r="E80" s="4"/>
      <c r="F80" s="4"/>
      <c r="G80" s="7"/>
      <c r="H80" s="5"/>
      <c r="I80" s="5">
        <v>19</v>
      </c>
      <c r="J80" s="5">
        <v>82</v>
      </c>
      <c r="K80" s="5"/>
      <c r="L80" s="4"/>
    </row>
    <row r="81" spans="3:12">
      <c r="C81" s="4" t="s">
        <v>90</v>
      </c>
      <c r="D81" s="4"/>
      <c r="E81" s="4"/>
      <c r="F81" s="4"/>
      <c r="G81" s="7"/>
      <c r="H81" s="5"/>
      <c r="I81" s="5">
        <v>15</v>
      </c>
      <c r="J81" s="5">
        <v>63</v>
      </c>
      <c r="K81" s="5"/>
      <c r="L81" s="4"/>
    </row>
    <row r="82" spans="3:12">
      <c r="C82" s="4" t="s">
        <v>91</v>
      </c>
      <c r="D82" s="4"/>
      <c r="E82" s="4"/>
      <c r="F82" s="4"/>
      <c r="G82" s="7"/>
      <c r="H82" s="5"/>
      <c r="I82" s="5">
        <v>31</v>
      </c>
      <c r="J82" s="5">
        <v>48</v>
      </c>
      <c r="K82" s="5"/>
      <c r="L82" s="4"/>
    </row>
    <row r="83" spans="3:12">
      <c r="C83" s="4" t="s">
        <v>92</v>
      </c>
      <c r="D83" s="4"/>
      <c r="E83" s="4"/>
      <c r="F83" s="4"/>
      <c r="G83" s="7"/>
      <c r="H83" s="5"/>
      <c r="I83" s="5">
        <v>16</v>
      </c>
      <c r="J83" s="5">
        <v>17</v>
      </c>
      <c r="K83" s="5"/>
      <c r="L83" s="4"/>
    </row>
    <row r="84" spans="3:12">
      <c r="C84" s="4" t="s">
        <v>93</v>
      </c>
      <c r="D84" s="4"/>
      <c r="E84" s="4"/>
      <c r="F84" s="4"/>
      <c r="G84" s="7"/>
      <c r="H84" s="5"/>
      <c r="I84" s="5">
        <v>1</v>
      </c>
      <c r="J84" s="5">
        <v>1</v>
      </c>
      <c r="K84" s="5"/>
      <c r="L84" s="4"/>
    </row>
  </sheetData>
  <mergeCells count="1">
    <mergeCell ref="C2:L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tabSelected="1" workbookViewId="0">
      <selection activeCell="I17" sqref="I17"/>
    </sheetView>
  </sheetViews>
  <sheetFormatPr baseColWidth="10" defaultColWidth="8.83203125" defaultRowHeight="17"/>
  <cols>
    <col min="1" max="1" width="12" style="12" customWidth="1"/>
    <col min="2" max="2" width="14" style="12" customWidth="1"/>
    <col min="3" max="3" width="13" style="12" customWidth="1"/>
    <col min="4" max="4" width="12" style="12" customWidth="1"/>
    <col min="5" max="5" width="23.5" style="12" customWidth="1"/>
    <col min="6" max="6" width="18.33203125" style="12" customWidth="1"/>
    <col min="7" max="7" width="22.33203125" style="12" customWidth="1"/>
    <col min="8" max="8" width="11" style="12" customWidth="1"/>
    <col min="9" max="9" width="21.83203125" style="12" customWidth="1"/>
    <col min="10" max="10" width="15" style="12" customWidth="1"/>
    <col min="11" max="11" width="21.33203125" style="12" customWidth="1"/>
  </cols>
  <sheetData>
    <row r="1" spans="1:11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</row>
    <row r="2" spans="1:11">
      <c r="A2" t="s">
        <v>105</v>
      </c>
      <c r="B2">
        <v>63</v>
      </c>
      <c r="C2">
        <v>63</v>
      </c>
      <c r="D2">
        <v>63</v>
      </c>
      <c r="E2">
        <v>0</v>
      </c>
      <c r="F2">
        <v>0</v>
      </c>
      <c r="G2"/>
      <c r="H2"/>
      <c r="I2"/>
      <c r="J2"/>
      <c r="K2">
        <v>0</v>
      </c>
    </row>
    <row r="3" spans="1:11">
      <c r="A3" t="s">
        <v>106</v>
      </c>
      <c r="B3">
        <v>934</v>
      </c>
      <c r="C3">
        <v>871</v>
      </c>
      <c r="D3">
        <v>871</v>
      </c>
      <c r="E3">
        <v>25476</v>
      </c>
      <c r="F3">
        <v>2896</v>
      </c>
      <c r="G3">
        <v>5</v>
      </c>
      <c r="H3">
        <v>1</v>
      </c>
      <c r="I3">
        <v>178650</v>
      </c>
      <c r="J3">
        <v>174440</v>
      </c>
      <c r="K3">
        <v>152285</v>
      </c>
    </row>
    <row r="4" spans="1:11">
      <c r="A4" t="s">
        <v>107</v>
      </c>
      <c r="B4">
        <v>1137</v>
      </c>
      <c r="C4">
        <v>203</v>
      </c>
      <c r="D4">
        <v>203</v>
      </c>
      <c r="E4">
        <v>34483</v>
      </c>
      <c r="F4">
        <v>3275</v>
      </c>
      <c r="G4">
        <v>3</v>
      </c>
      <c r="H4">
        <v>1</v>
      </c>
      <c r="I4">
        <v>166036</v>
      </c>
      <c r="J4">
        <v>158154</v>
      </c>
      <c r="K4">
        <v>33439</v>
      </c>
    </row>
    <row r="5" spans="1:11">
      <c r="A5" t="s">
        <v>108</v>
      </c>
      <c r="B5">
        <v>1387</v>
      </c>
      <c r="C5">
        <v>250</v>
      </c>
      <c r="D5">
        <v>250</v>
      </c>
      <c r="E5">
        <v>36077</v>
      </c>
      <c r="F5">
        <v>3573</v>
      </c>
      <c r="G5">
        <v>3</v>
      </c>
      <c r="H5">
        <v>1</v>
      </c>
      <c r="I5">
        <v>178195</v>
      </c>
      <c r="J5">
        <v>173791</v>
      </c>
      <c r="K5">
        <v>51229</v>
      </c>
    </row>
    <row r="6" spans="1:11">
      <c r="A6" t="s">
        <v>109</v>
      </c>
      <c r="B6">
        <v>1480</v>
      </c>
      <c r="C6">
        <v>93</v>
      </c>
      <c r="D6">
        <v>93</v>
      </c>
      <c r="E6">
        <v>31965</v>
      </c>
      <c r="F6">
        <v>3362</v>
      </c>
      <c r="G6">
        <v>3</v>
      </c>
      <c r="H6">
        <v>1</v>
      </c>
      <c r="I6">
        <v>142747</v>
      </c>
      <c r="J6">
        <v>135752</v>
      </c>
      <c r="K6">
        <v>0</v>
      </c>
    </row>
    <row r="7" spans="1:11">
      <c r="A7" t="s">
        <v>110</v>
      </c>
      <c r="B7">
        <v>1648</v>
      </c>
      <c r="C7">
        <v>168</v>
      </c>
      <c r="D7">
        <v>168</v>
      </c>
      <c r="E7">
        <v>30537</v>
      </c>
      <c r="F7">
        <v>3236</v>
      </c>
      <c r="G7">
        <v>3</v>
      </c>
      <c r="H7">
        <v>1</v>
      </c>
      <c r="I7">
        <v>125245</v>
      </c>
      <c r="J7">
        <v>122969</v>
      </c>
      <c r="K7">
        <v>0</v>
      </c>
    </row>
    <row r="8" spans="1:11">
      <c r="A8" t="s">
        <v>111</v>
      </c>
      <c r="B8">
        <v>1967</v>
      </c>
      <c r="C8">
        <v>319</v>
      </c>
      <c r="D8">
        <v>319</v>
      </c>
      <c r="E8">
        <v>31097</v>
      </c>
      <c r="F8">
        <v>3430</v>
      </c>
      <c r="G8">
        <v>3</v>
      </c>
      <c r="H8">
        <v>1</v>
      </c>
      <c r="I8">
        <v>140203</v>
      </c>
      <c r="J8">
        <v>135124</v>
      </c>
      <c r="K8">
        <v>0</v>
      </c>
    </row>
    <row r="9" spans="1:11">
      <c r="A9" t="s">
        <v>112</v>
      </c>
      <c r="B9">
        <v>2301</v>
      </c>
      <c r="C9">
        <v>334</v>
      </c>
      <c r="D9">
        <v>334</v>
      </c>
      <c r="E9">
        <v>30428</v>
      </c>
      <c r="F9">
        <v>3350</v>
      </c>
      <c r="G9">
        <v>4</v>
      </c>
      <c r="H9">
        <v>1</v>
      </c>
      <c r="I9">
        <v>164833</v>
      </c>
      <c r="J9">
        <v>155889</v>
      </c>
      <c r="K9">
        <v>0</v>
      </c>
    </row>
    <row r="10" spans="1:11">
      <c r="A10" t="s">
        <v>113</v>
      </c>
      <c r="B10">
        <v>2515</v>
      </c>
      <c r="C10">
        <v>214</v>
      </c>
      <c r="D10">
        <v>214</v>
      </c>
      <c r="E10">
        <v>31732</v>
      </c>
      <c r="F10">
        <v>3418</v>
      </c>
      <c r="G10">
        <v>4</v>
      </c>
      <c r="H10">
        <v>1</v>
      </c>
      <c r="I10">
        <v>169585</v>
      </c>
      <c r="J10">
        <v>158467</v>
      </c>
      <c r="K10">
        <v>0</v>
      </c>
    </row>
    <row r="11" spans="1:11">
      <c r="A11" t="s">
        <v>114</v>
      </c>
      <c r="B11">
        <v>2672</v>
      </c>
      <c r="C11">
        <v>157</v>
      </c>
      <c r="D11">
        <v>157</v>
      </c>
      <c r="E11">
        <v>31500</v>
      </c>
      <c r="F11">
        <v>3360</v>
      </c>
      <c r="G11">
        <v>4</v>
      </c>
      <c r="H11">
        <v>1</v>
      </c>
      <c r="I11">
        <v>184275</v>
      </c>
      <c r="J11">
        <v>173195</v>
      </c>
      <c r="K11">
        <v>117083</v>
      </c>
    </row>
    <row r="12" spans="1:11">
      <c r="A12" t="s">
        <v>115</v>
      </c>
      <c r="B12">
        <v>2965</v>
      </c>
      <c r="C12">
        <v>293</v>
      </c>
      <c r="D12">
        <v>293</v>
      </c>
      <c r="E12">
        <v>33892</v>
      </c>
      <c r="F12">
        <v>3580</v>
      </c>
      <c r="G12">
        <v>3</v>
      </c>
      <c r="H12">
        <v>1</v>
      </c>
      <c r="I12">
        <v>172486</v>
      </c>
      <c r="J12">
        <v>159946</v>
      </c>
      <c r="K12">
        <v>54637</v>
      </c>
    </row>
    <row r="13" spans="1:11">
      <c r="A13" t="s">
        <v>116</v>
      </c>
      <c r="B13">
        <v>4241</v>
      </c>
      <c r="C13">
        <v>1276</v>
      </c>
      <c r="D13">
        <v>1276</v>
      </c>
      <c r="E13">
        <v>71775</v>
      </c>
      <c r="F13">
        <v>5476</v>
      </c>
      <c r="G13">
        <v>4</v>
      </c>
      <c r="H13">
        <v>1</v>
      </c>
      <c r="I13">
        <v>435418</v>
      </c>
      <c r="J13">
        <v>410842</v>
      </c>
      <c r="K13">
        <v>380940</v>
      </c>
    </row>
  </sheetData>
  <phoneticPr fontId="3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주간 추정매출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희창 이</dc:creator>
  <cp:lastModifiedBy>이동원</cp:lastModifiedBy>
  <dcterms:created xsi:type="dcterms:W3CDTF">2026-03-23T09:51:09Z</dcterms:created>
  <dcterms:modified xsi:type="dcterms:W3CDTF">2026-03-25T06:41:27Z</dcterms:modified>
</cp:coreProperties>
</file>